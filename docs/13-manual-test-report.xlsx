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測試案例" sheetId="1" state="visible" r:id="rId1"/>
    <sheet name="結果統計" sheetId="2" state="visible" r:id="rId2"/>
    <sheet name="缺陷記錄" sheetId="3" state="visible" r:id="rId3"/>
    <sheet name="整體評估" sheetId="4" state="visible" r:id="rId4"/>
  </sheets>
  <definedNames>
    <definedName name="_xlnm._FilterDatabase" localSheetId="0" hidden="1">'測試案例'!$A$8:$I$41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b val="1"/>
      <sz val="10"/>
    </font>
    <font>
      <name val="Arial"/>
      <sz val="10"/>
    </font>
    <font>
      <name val="Arial"/>
      <i val="1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i val="1"/>
      <color rgb="00808080"/>
      <sz val="10"/>
    </font>
    <font>
      <name val="Arial"/>
      <i val="1"/>
      <color rgb="00C00000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1F3A5F"/>
      </patternFill>
    </fill>
    <fill>
      <patternFill patternType="solid">
        <fgColor rgb="00D9E2F3"/>
      </patternFill>
    </fill>
    <fill>
      <patternFill patternType="solid">
        <fgColor rgb="00EDF1F8"/>
      </patternFill>
    </fill>
  </fills>
  <borders count="6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  <border>
      <left/>
      <right/>
      <top style="thin">
        <color rgb="00B0B7C3"/>
      </top>
      <bottom/>
      <diagonal/>
    </border>
    <border>
      <left/>
      <right style="thin">
        <color rgb="00B0B7C3"/>
      </right>
      <top style="thin">
        <color rgb="00B0B7C3"/>
      </top>
      <bottom/>
      <diagonal/>
    </border>
    <border>
      <left/>
      <right/>
      <top style="thin">
        <color rgb="00B0B7C3"/>
      </top>
      <bottom style="thin">
        <color rgb="00B0B7C3"/>
      </bottom>
      <diagonal/>
    </border>
    <border>
      <left/>
      <right style="thin">
        <color rgb="00B0B7C3"/>
      </right>
      <top style="thin">
        <color rgb="00B0B7C3"/>
      </top>
      <bottom style="thin">
        <color rgb="00B0B7C3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1" pivotButton="0" quotePrefix="0" xfId="0"/>
    <xf numFmtId="0" fontId="2" fillId="5" borderId="1" pivotButton="0" quotePrefix="0" xfId="0"/>
    <xf numFmtId="0" fontId="2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3" fillId="5" borderId="1" applyAlignment="1" pivotButton="0" quotePrefix="0" xfId="0">
      <alignment vertical="top" wrapText="1"/>
    </xf>
    <xf numFmtId="165" fontId="2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20" customWidth="1" min="3" max="3"/>
    <col width="34" customWidth="1" min="4" max="4"/>
    <col width="40" customWidth="1" min="5" max="5"/>
    <col width="28" customWidth="1" min="6" max="6"/>
    <col width="7" customWidth="1" min="7" max="7"/>
    <col width="7" customWidth="1" min="8" max="8"/>
    <col width="30" customWidth="1" min="9" max="9"/>
  </cols>
  <sheetData>
    <row r="1" ht="26" customHeight="1">
      <c r="A1" s="1" t="inlineStr">
        <is>
          <t>Arkham 人工測試冊案 —— 測試案例表</t>
        </is>
      </c>
    </row>
    <row r="2">
      <c r="A2" s="2" t="inlineStr">
        <is>
          <t>測試日期</t>
        </is>
      </c>
      <c r="B2" s="3" t="inlineStr"/>
      <c r="C2" s="4" t="n"/>
      <c r="D2" s="5" t="n"/>
      <c r="F2" s="6" t="inlineStr">
        <is>
          <t>判定:P 通過 / F 失敗 / B 阻斷 / N 未測</t>
        </is>
      </c>
    </row>
    <row r="3">
      <c r="A3" s="2" t="inlineStr">
        <is>
          <t>版本 / commit</t>
        </is>
      </c>
      <c r="B3" s="3" t="inlineStr"/>
      <c r="C3" s="4" t="n"/>
      <c r="D3" s="5" t="n"/>
      <c r="F3" s="6" t="inlineStr">
        <is>
          <t>手感:😀 順 / 😐 可用但卡 / 😖 不行</t>
        </is>
      </c>
    </row>
    <row r="4">
      <c r="A4" s="2" t="inlineStr">
        <is>
          <t>測試者</t>
        </is>
      </c>
      <c r="B4" s="3" t="inlineStr"/>
      <c r="C4" s="4" t="n"/>
      <c r="D4" s="5" t="n"/>
      <c r="F4" s="6" t="inlineStr">
        <is>
          <t>優先:P0 阻斷級 / P1 主流程 / P2 邊緣</t>
        </is>
      </c>
    </row>
    <row r="5">
      <c r="A5" s="2" t="inlineStr">
        <is>
          <t>環境(OS/瀏覽器)</t>
        </is>
      </c>
      <c r="B5" s="3" t="inlineStr"/>
      <c r="C5" s="4" t="n"/>
      <c r="D5" s="5" t="n"/>
      <c r="F5" s="7" t="inlineStr">
        <is>
          <t>黃底儲存格 = 請填寫</t>
        </is>
      </c>
    </row>
    <row r="6">
      <c r="A6" s="2" t="inlineStr">
        <is>
          <t>伺服器位址</t>
        </is>
      </c>
      <c r="B6" s="3" t="inlineStr"/>
      <c r="C6" s="4" t="n"/>
      <c r="D6" s="5" t="n"/>
      <c r="F6" s="7" t="inlineStr">
        <is>
          <t>每個 F / 😐 / 😖 請到「缺陷記錄」補一列</t>
        </is>
      </c>
    </row>
    <row r="8" ht="22" customHeight="1">
      <c r="A8" s="8" t="inlineStr">
        <is>
          <t>編號</t>
        </is>
      </c>
      <c r="B8" s="8" t="inlineStr">
        <is>
          <t>優先</t>
        </is>
      </c>
      <c r="C8" s="8" t="inlineStr">
        <is>
          <t>測試項目</t>
        </is>
      </c>
      <c r="D8" s="8" t="inlineStr">
        <is>
          <t>操作步驟</t>
        </is>
      </c>
      <c r="E8" s="8" t="inlineStr">
        <is>
          <t>預期結果</t>
        </is>
      </c>
      <c r="F8" s="8" t="inlineStr">
        <is>
          <t>實際結果</t>
        </is>
      </c>
      <c r="G8" s="8" t="inlineStr">
        <is>
          <t>判定</t>
        </is>
      </c>
      <c r="H8" s="8" t="inlineStr">
        <is>
          <t>手感</t>
        </is>
      </c>
      <c r="I8" s="8" t="inlineStr">
        <is>
          <t>重點問 / 備註</t>
        </is>
      </c>
    </row>
    <row r="9">
      <c r="A9" s="9" t="inlineStr">
        <is>
          <t>0. 前置作業</t>
        </is>
      </c>
      <c r="B9" s="4" t="n"/>
      <c r="C9" s="4" t="n"/>
      <c r="D9" s="4" t="n"/>
      <c r="E9" s="4" t="n"/>
      <c r="F9" s="4" t="n"/>
      <c r="G9" s="4" t="n"/>
      <c r="H9" s="4" t="n"/>
      <c r="I9" s="5" t="n"/>
    </row>
    <row r="10" ht="30" customHeight="1">
      <c r="A10" s="10" t="inlineStr">
        <is>
          <t>PRE-01</t>
        </is>
      </c>
      <c r="B10" s="11" t="inlineStr">
        <is>
          <t>P0</t>
        </is>
      </c>
      <c r="C10" s="12" t="inlineStr">
        <is>
          <t>啟動伺服器</t>
        </is>
      </c>
      <c r="D10" s="12" t="inlineStr">
        <is>
          <t>執行 scripts/start/start-server.command(mac)/ .bat(Win)</t>
        </is>
      </c>
      <c r="E10" s="12" t="inlineStr">
        <is>
          <t>終端機印出區網 IP 與啟動完成</t>
        </is>
      </c>
      <c r="F10" s="13" t="inlineStr"/>
      <c r="G10" s="14" t="inlineStr"/>
      <c r="H10" s="14" t="inlineStr"/>
      <c r="I10" s="12" t="inlineStr"/>
    </row>
    <row r="11" ht="30" customHeight="1">
      <c r="A11" s="10" t="inlineStr">
        <is>
          <t>PRE-02</t>
        </is>
      </c>
      <c r="B11" s="11" t="inlineStr">
        <is>
          <t>P0</t>
        </is>
      </c>
      <c r="C11" s="12" t="inlineStr">
        <is>
          <t>開啟遊戲頁</t>
        </is>
      </c>
      <c r="D11" s="12" t="inlineStr">
        <is>
          <t>瀏覽器開 http://&lt;主機IP&gt;:8080/</t>
        </is>
      </c>
      <c r="E11" s="12" t="inlineStr">
        <is>
          <t>出現「阿卡姆驚魂記」主選單</t>
        </is>
      </c>
      <c r="F11" s="13" t="inlineStr"/>
      <c r="G11" s="14" t="inlineStr"/>
      <c r="H11" s="14" t="inlineStr"/>
      <c r="I11" s="12" t="inlineStr"/>
    </row>
    <row r="12" ht="30" customHeight="1">
      <c r="A12" s="10" t="inlineStr">
        <is>
          <t>PRE-03</t>
        </is>
      </c>
      <c r="B12" s="11" t="inlineStr">
        <is>
          <t>P0</t>
        </is>
      </c>
      <c r="C12" s="12" t="inlineStr">
        <is>
          <t>硬重新整理</t>
        </is>
      </c>
      <c r="D12" s="12" t="inlineStr">
        <is>
          <t>Cmd+Shift+R(mac)/ Ctrl+F5(Win)</t>
        </is>
      </c>
      <c r="E12" s="12" t="inlineStr">
        <is>
          <t>確保不是舊版畫面</t>
        </is>
      </c>
      <c r="F12" s="13" t="inlineStr"/>
      <c r="G12" s="14" t="inlineStr"/>
      <c r="H12" s="14" t="inlineStr"/>
      <c r="I12" s="12" t="inlineStr">
        <is>
          <t>改版後必做</t>
        </is>
      </c>
    </row>
    <row r="13" ht="30" customHeight="1">
      <c r="A13" s="10" t="inlineStr">
        <is>
          <t>PRE-04</t>
        </is>
      </c>
      <c r="B13" s="11" t="inlineStr">
        <is>
          <t>P0</t>
        </is>
      </c>
      <c r="C13" s="12" t="inlineStr">
        <is>
          <t>雙人環境</t>
        </is>
      </c>
      <c r="D13" s="12" t="inlineStr">
        <is>
          <t>第二台或無痕視窗開同一網址</t>
        </is>
      </c>
      <c r="E13" s="12" t="inlineStr">
        <is>
          <t>顯示為另一個身分(不是同一人)</t>
        </is>
      </c>
      <c r="F13" s="13" t="inlineStr"/>
      <c r="G13" s="14" t="inlineStr"/>
      <c r="H13" s="14" t="inlineStr"/>
      <c r="I13" s="12" t="inlineStr">
        <is>
          <t>同機測雙人必須用無痕視窗</t>
        </is>
      </c>
    </row>
    <row r="14">
      <c r="A14" s="9" t="inlineStr">
        <is>
          <t>A. 單人流程</t>
        </is>
      </c>
      <c r="B14" s="4" t="n"/>
      <c r="C14" s="4" t="n"/>
      <c r="D14" s="4" t="n"/>
      <c r="E14" s="4" t="n"/>
      <c r="F14" s="4" t="n"/>
      <c r="G14" s="4" t="n"/>
      <c r="H14" s="4" t="n"/>
      <c r="I14" s="5" t="n"/>
    </row>
    <row r="15" ht="36" customHeight="1">
      <c r="A15" s="10" t="inlineStr">
        <is>
          <t>SOLO-01</t>
        </is>
      </c>
      <c r="B15" s="11" t="inlineStr">
        <is>
          <t>P0</t>
        </is>
      </c>
      <c r="C15" s="12" t="inlineStr">
        <is>
          <t>首次進入 · 身分建立</t>
        </is>
      </c>
      <c r="D15" s="12" t="inlineStr">
        <is>
          <t>1. 輸入名字
2. 送出</t>
        </is>
      </c>
      <c r="E15" s="12" t="inlineStr">
        <is>
          <t>進入主選單,顯示「你好,&lt;名字&gt;」+「改名」連結</t>
        </is>
      </c>
      <c r="F15" s="13" t="inlineStr"/>
      <c r="G15" s="14" t="inlineStr"/>
      <c r="H15" s="14" t="inlineStr"/>
      <c r="I15" s="12" t="inlineStr">
        <is>
          <t>知道這是「玩家名」不是角色名嗎?</t>
        </is>
      </c>
    </row>
    <row r="16" ht="78" customHeight="1">
      <c r="A16" s="10" t="inlineStr">
        <is>
          <t>SOLO-02</t>
        </is>
      </c>
      <c r="B16" s="11" t="inlineStr">
        <is>
          <t>P0</t>
        </is>
      </c>
      <c r="C16" s="12" t="inlineStr">
        <is>
          <t>開新檔案 · 建桌</t>
        </is>
      </c>
      <c r="D16" s="12" t="inlineStr">
        <is>
          <t>1.「+ 開新檔案」
2. 桌名隨意
3. 戰役選「🧪 測試沙盒」
4. 難度「簡單」
5. 建立桌次</t>
        </is>
      </c>
      <c r="E16" s="12" t="inlineStr">
        <is>
          <t>進入名冊畫面,自己 1 人、標示在線</t>
        </is>
      </c>
      <c r="F16" s="13" t="inlineStr"/>
      <c r="G16" s="14" t="inlineStr"/>
      <c r="H16" s="14" t="inlineStr"/>
      <c r="I16" s="12" t="inlineStr">
        <is>
          <t>「戰役」「難度」看得懂嗎?</t>
        </is>
      </c>
    </row>
    <row r="17" ht="50" customHeight="1">
      <c r="A17" s="10" t="inlineStr">
        <is>
          <t>SOLO-03</t>
        </is>
      </c>
      <c r="B17" s="11" t="inlineStr">
        <is>
          <t>P1</t>
        </is>
      </c>
      <c r="C17" s="12" t="inlineStr">
        <is>
          <t>選角 + 選卡器</t>
        </is>
      </c>
      <c r="D17" s="12" t="inlineStr">
        <is>
          <t>1. 調查員下拉選 Joe Diamond
2. 按「🃏 完整選卡器」
3. 關閉選卡器</t>
        </is>
      </c>
      <c r="E17" s="12" t="inlineStr">
        <is>
          <t>名冊角色變 joe_diamond;選卡器可開、看得到卡池;關閉後回名冊</t>
        </is>
      </c>
      <c r="F17" s="13" t="inlineStr"/>
      <c r="G17" s="14" t="inlineStr"/>
      <c r="H17" s="14" t="inlineStr"/>
      <c r="I17" s="12" t="inlineStr">
        <is>
          <t>知道不編牌組也能直接開打嗎?</t>
        </is>
      </c>
    </row>
    <row r="18" ht="30" customHeight="1">
      <c r="A18" s="10" t="inlineStr">
        <is>
          <t>SOLO-04</t>
        </is>
      </c>
      <c r="B18" s="11" t="inlineStr">
        <is>
          <t>P0</t>
        </is>
      </c>
      <c r="C18" s="12" t="inlineStr">
        <is>
          <t>開打 · 第一眼</t>
        </is>
      </c>
      <c r="D18" s="12" t="inlineStr">
        <is>
          <t>按「✓ 準備完成」</t>
        </is>
      </c>
      <c r="E18" s="12" t="inlineStr">
        <is>
          <t>切到戰役板:地圖(地點卡)、左上自身數據、右上回合小卡、下方手牌</t>
        </is>
      </c>
      <c r="F18" s="13" t="inlineStr"/>
      <c r="G18" s="14" t="inlineStr"/>
      <c r="H18" s="14" t="inlineStr"/>
      <c r="I18" s="12" t="inlineStr">
        <is>
          <t>第一眼知道該做什麼嗎?❤️🧠 大數字清楚嗎?</t>
        </is>
      </c>
    </row>
    <row r="19" ht="36" customHeight="1">
      <c r="A19" s="10" t="inlineStr">
        <is>
          <t>SOLO-05</t>
        </is>
      </c>
      <c r="B19" s="11" t="inlineStr">
        <is>
          <t>P1</t>
        </is>
      </c>
      <c r="C19" s="12" t="inlineStr">
        <is>
          <t>移動 · 高亮引導</t>
        </is>
      </c>
      <c r="D19" s="12" t="inlineStr">
        <is>
          <t>1. 觀察地圖
2. 點可走的格子</t>
        </is>
      </c>
      <c r="E19" s="12" t="inlineStr">
        <is>
          <t>相鄰可走格有綠色呼吸外框 + 🚶,連線變綠;點擊後移動;行動用完綠框消失</t>
        </is>
      </c>
      <c r="F19" s="13" t="inlineStr"/>
      <c r="G19" s="14" t="inlineStr"/>
      <c r="H19" s="14" t="inlineStr"/>
      <c r="I19" s="12" t="inlineStr">
        <is>
          <t>不用教就知道綠框=可走嗎?</t>
        </is>
      </c>
    </row>
    <row r="20" ht="64" customHeight="1">
      <c r="A20" s="10" t="inlineStr">
        <is>
          <t>SOLO-06</t>
        </is>
      </c>
      <c r="B20" s="11" t="inlineStr">
        <is>
          <t>P0</t>
        </is>
      </c>
      <c r="C20" s="12" t="inlineStr">
        <is>
          <t>調查 · 技能檢定</t>
        </is>
      </c>
      <c r="D20" s="12" t="inlineStr">
        <is>
          <t>1. 在有線索的格按「🔍 調查」
2. 投入面板選 0~2 張
3. 送出</t>
        </is>
      </c>
      <c r="E20" s="12" t="inlineStr">
        <is>
          <t>①面板顯示「基礎 X vs 難度 Y」
②抽混沌標記動畫
③成功/失敗彈窗
④成功則線索 +1</t>
        </is>
      </c>
      <c r="F20" s="13" t="inlineStr"/>
      <c r="G20" s="14" t="inlineStr"/>
      <c r="H20" s="14" t="inlineStr"/>
      <c r="I20" s="12" t="inlineStr">
        <is>
          <t>看得懂為什麼成功/失敗嗎?</t>
        </is>
      </c>
    </row>
    <row r="21" ht="50" customHeight="1">
      <c r="A21" s="10" t="inlineStr">
        <is>
          <t>SOLO-07</t>
        </is>
      </c>
      <c r="B21" s="11" t="inlineStr">
        <is>
          <t>P1</t>
        </is>
      </c>
      <c r="C21" s="12" t="inlineStr">
        <is>
          <t>打牌 + 啟動能力</t>
        </is>
      </c>
      <c r="D21" s="12" t="inlineStr">
        <is>
          <t>1. 手牌點「Field Toolkit」打出
2. 點檯面上那張卡啟動
3. 同一輪再點一次</t>
        </is>
      </c>
      <c r="E21" s="12" t="inlineStr">
        <is>
          <t>打出扣資源、進檯面;啟動 +2 資源、-1 行動;第二次被擋並說明原因</t>
        </is>
      </c>
      <c r="F21" s="13" t="inlineStr"/>
      <c r="G21" s="14" t="inlineStr"/>
      <c r="H21" s="14" t="inlineStr"/>
      <c r="I21" s="12" t="inlineStr">
        <is>
          <t>知道「檯面卡可以點來啟動」嗎?</t>
        </is>
      </c>
    </row>
    <row r="22" ht="50" customHeight="1">
      <c r="A22" s="10" t="inlineStr">
        <is>
          <t>SOLO-08</t>
        </is>
      </c>
      <c r="B22" s="11" t="inlineStr">
        <is>
          <t>P0</t>
        </is>
      </c>
      <c r="C22" s="12" t="inlineStr">
        <is>
          <t>戰鬥 · 打擊回饋</t>
        </is>
      </c>
      <c r="D22" s="12" t="inlineStr">
        <is>
          <t>1. 走到「訓練場」
2. 對訓練假人「🤝 交戰」
3. 連續「⚔️ 戰鬥」到擊敗</t>
        </is>
      </c>
      <c r="E22" s="12" t="inlineStr">
        <is>
          <t>敵人卡有血條 + ❤️N/M;打中時卡片震動 + 飄 -N、血條縮短;擊敗時中央飄「☠️ 擊敗 訓練假人!」</t>
        </is>
      </c>
      <c r="F22" s="13" t="inlineStr"/>
      <c r="G22" s="14" t="inlineStr"/>
      <c r="H22" s="14" t="inlineStr"/>
      <c r="I22" s="12" t="inlineStr">
        <is>
          <t>每一下有沒有打中、扣多少,看得出來嗎?</t>
        </is>
      </c>
    </row>
    <row r="23" ht="64" customHeight="1">
      <c r="A23" s="10" t="inlineStr">
        <is>
          <t>SOLO-09</t>
        </is>
      </c>
      <c r="B23" s="11" t="inlineStr">
        <is>
          <t>P0</t>
        </is>
      </c>
      <c r="C23" s="12" t="inlineStr">
        <is>
          <t>挨打 · 受擊回饋</t>
        </is>
      </c>
      <c r="D23" s="12" t="inlineStr">
        <is>
          <t>1. 走到「實戰巷」揭示(教官與你交戰)
2. 交戰中按「🎴 抽牌」吃趁隙攻擊
3. 直接按「✋ 我打完了」吃敵人階段攻擊</t>
        </is>
      </c>
      <c r="E23" s="12" t="inlineStr">
        <is>
          <t>①全螢幕紅閃 + 飄「-1 ❤️」
②紫閃 + 「-1 🧠」
③左上徽章彈跳、數字變色
④回合小卡出現紅框警示「你被實戰教官纏住…」</t>
        </is>
      </c>
      <c r="F23" s="13" t="inlineStr"/>
      <c r="G23" s="14" t="inlineStr"/>
      <c r="H23" s="14" t="inlineStr"/>
      <c r="I23" s="12" t="inlineStr">
        <is>
          <t>沒看文字 log 也知道被打了嗎?警示在按「我打完了」前就看到嗎?</t>
        </is>
      </c>
    </row>
    <row r="24" ht="36" customHeight="1">
      <c r="A24" s="10" t="inlineStr">
        <is>
          <t>SOLO-10</t>
        </is>
      </c>
      <c r="B24" s="11" t="inlineStr">
        <is>
          <t>P1</t>
        </is>
      </c>
      <c r="C24" s="12" t="inlineStr">
        <is>
          <t>閃避 · 教學有效性</t>
        </is>
      </c>
      <c r="D24" s="12" t="inlineStr">
        <is>
          <t>1. 對教官按「💨 閃避」直到成功
2. 按「✋ 我打完了」</t>
        </is>
      </c>
      <c r="E24" s="12" t="inlineStr">
        <is>
          <t>成功後敵人卡變灰 + 綠徽章「😴 已耗竭…」;閃避鈕停用;紅框警示消失;結束回合不挨打</t>
        </is>
      </c>
      <c r="F24" s="13" t="inlineStr"/>
      <c r="G24" s="14" t="inlineStr"/>
      <c r="H24" s="14" t="inlineStr"/>
      <c r="I24" s="12" t="inlineStr">
        <is>
          <t>你相信「閃避完就安全」了嗎?</t>
        </is>
      </c>
    </row>
    <row r="25">
      <c r="A25" s="9" t="inlineStr">
        <is>
          <t>B. 存檔 / 續玩</t>
        </is>
      </c>
      <c r="B25" s="4" t="n"/>
      <c r="C25" s="4" t="n"/>
      <c r="D25" s="4" t="n"/>
      <c r="E25" s="4" t="n"/>
      <c r="F25" s="4" t="n"/>
      <c r="G25" s="4" t="n"/>
      <c r="H25" s="4" t="n"/>
      <c r="I25" s="5" t="n"/>
    </row>
    <row r="26" ht="36" customHeight="1">
      <c r="A26" s="10" t="inlineStr">
        <is>
          <t>SAVE-01</t>
        </is>
      </c>
      <c r="B26" s="11" t="inlineStr">
        <is>
          <t>P0</t>
        </is>
      </c>
      <c r="C26" s="12" t="inlineStr">
        <is>
          <t>中途存檔</t>
        </is>
      </c>
      <c r="D26" s="12" t="inlineStr">
        <is>
          <t>1. 按「💾 保存並離開」
2. 彈窗選同意</t>
        </is>
      </c>
      <c r="E26" s="12" t="inlineStr">
        <is>
          <t>提示已存檔;回主選單;「我的本機存檔」出現該筆(桌名/章數)</t>
        </is>
      </c>
      <c r="F26" s="13" t="inlineStr"/>
      <c r="G26" s="14" t="inlineStr"/>
      <c r="H26" s="14" t="inlineStr"/>
      <c r="I26" s="12" t="inlineStr">
        <is>
          <t>知道存在自己電腦不是雲端嗎?</t>
        </is>
      </c>
    </row>
    <row r="27" ht="50" customHeight="1">
      <c r="A27" s="10" t="inlineStr">
        <is>
          <t>SAVE-02</t>
        </is>
      </c>
      <c r="B27" s="11" t="inlineStr">
        <is>
          <t>P0</t>
        </is>
      </c>
      <c r="C27" s="12" t="inlineStr">
        <is>
          <t>載入續玩</t>
        </is>
      </c>
      <c r="D27" s="12" t="inlineStr">
        <is>
          <t>1.「📂 加載存檔」
2. 選該筆載入
3. 按「我已就緒」</t>
        </is>
      </c>
      <c r="E27" s="12" t="inlineStr">
        <is>
          <t>回戰役板;位置/血量/線索/檯面卡/已擊敗敵人與存檔當下一致;事件紀錄回放</t>
        </is>
      </c>
      <c r="F27" s="13" t="inlineStr"/>
      <c r="G27" s="14" t="inlineStr"/>
      <c r="H27" s="14" t="inlineStr"/>
      <c r="I27" s="12" t="inlineStr">
        <is>
          <t>載入過程有沒有「不知道在等什麼」的空白期?</t>
        </is>
      </c>
    </row>
    <row r="28" ht="36" customHeight="1">
      <c r="A28" s="10" t="inlineStr">
        <is>
          <t>SAVE-03</t>
        </is>
      </c>
      <c r="B28" s="11" t="inlineStr">
        <is>
          <t>P1</t>
        </is>
      </c>
      <c r="C28" s="12" t="inlineStr">
        <is>
          <t>完成一章 · 結算繼承</t>
        </is>
      </c>
      <c r="D28" s="12" t="inlineStr">
        <is>
          <t>1. 湊滿 3 線索
2. 按「📖 推進幕」</t>
        </is>
      </c>
      <c r="E28" s="12" t="inlineStr">
        <is>
          <t>章節結算播報(獲得經驗)→ 回牌組大廳顯示「第 2 章」;自動存檔;有受傷則名冊顯示 🩸/🧠 創傷</t>
        </is>
      </c>
      <c r="F28" s="13" t="inlineStr"/>
      <c r="G28" s="14" t="inlineStr"/>
      <c r="H28" s="14" t="inlineStr"/>
      <c r="I28" s="12" t="inlineStr">
        <is>
          <t>知道拿到多少經驗、下一步做什麼嗎?</t>
        </is>
      </c>
    </row>
    <row r="29">
      <c r="A29" s="9" t="inlineStr">
        <is>
          <t>C. 雙人流程(需兩台或兩個無痕視窗)</t>
        </is>
      </c>
      <c r="B29" s="4" t="n"/>
      <c r="C29" s="4" t="n"/>
      <c r="D29" s="4" t="n"/>
      <c r="E29" s="4" t="n"/>
      <c r="F29" s="4" t="n"/>
      <c r="G29" s="4" t="n"/>
      <c r="H29" s="4" t="n"/>
      <c r="I29" s="5" t="n"/>
    </row>
    <row r="30" ht="50" customHeight="1">
      <c r="A30" s="10" t="inlineStr">
        <is>
          <t>MULTI-01</t>
        </is>
      </c>
      <c r="B30" s="11" t="inlineStr">
        <is>
          <t>P0</t>
        </is>
      </c>
      <c r="C30" s="12" t="inlineStr">
        <is>
          <t>找到朋友的桌 · 加入</t>
        </is>
      </c>
      <c r="D30" s="12" t="inlineStr">
        <is>
          <t>1. A 建沙盒桌
2. B 不做任何事,只看主選單
3. B 按「加入」</t>
        </is>
      </c>
      <c r="E30" s="12" t="inlineStr">
        <is>
          <t>B 的「進行中桌次」自動出現 A 的桌(桌名/人數/戰役);加入後同一名冊 2 人</t>
        </is>
      </c>
      <c r="F30" s="13" t="inlineStr"/>
      <c r="G30" s="14" t="inlineStr"/>
      <c r="H30" s="14" t="inlineStr"/>
      <c r="I30" s="12" t="inlineStr">
        <is>
          <t>不用報房號,B 直覺找得到嗎?</t>
        </is>
      </c>
    </row>
    <row r="31" ht="36" customHeight="1">
      <c r="A31" s="10" t="inlineStr">
        <is>
          <t>MULTI-02</t>
        </is>
      </c>
      <c r="B31" s="11" t="inlineStr">
        <is>
          <t>P1</t>
        </is>
      </c>
      <c r="C31" s="12" t="inlineStr">
        <is>
          <t>選角衝突</t>
        </is>
      </c>
      <c r="D31" s="12" t="inlineStr">
        <is>
          <t>1. A 選 Joe Diamond
2. B 也試選 Joe Diamond</t>
        </is>
      </c>
      <c r="E31" s="12" t="inlineStr">
        <is>
          <t>B 被擋,訊息「已被隊友選走」;下拉中該角色為不可選</t>
        </is>
      </c>
      <c r="F31" s="13" t="inlineStr"/>
      <c r="G31" s="14" t="inlineStr"/>
      <c r="H31" s="14" t="inlineStr"/>
      <c r="I31" s="12" t="inlineStr"/>
    </row>
    <row r="32" ht="50" customHeight="1">
      <c r="A32" s="10" t="inlineStr">
        <is>
          <t>MULTI-03</t>
        </is>
      </c>
      <c r="B32" s="11" t="inlineStr">
        <is>
          <t>P0</t>
        </is>
      </c>
      <c r="C32" s="12" t="inlineStr">
        <is>
          <t>準備屏障</t>
        </is>
      </c>
      <c r="D32" s="12" t="inlineStr">
        <is>
          <t>1. A 按「準備完成」
2. 等 10 秒
3. B 按「準備完成」</t>
        </is>
      </c>
      <c r="E32" s="12" t="inlineStr">
        <is>
          <t>A 按完不開打(名冊 1/2 就緒);B 按完兩人同時進戰役板</t>
        </is>
      </c>
      <c r="F32" s="13" t="inlineStr"/>
      <c r="G32" s="14" t="inlineStr"/>
      <c r="H32" s="14" t="inlineStr"/>
      <c r="I32" s="12" t="inlineStr">
        <is>
          <t>A 等待時知道在等誰嗎?</t>
        </is>
      </c>
    </row>
    <row r="33" ht="30" customHeight="1">
      <c r="A33" s="10" t="inlineStr">
        <is>
          <t>MULTI-04</t>
        </is>
      </c>
      <c r="B33" s="11" t="inlineStr">
        <is>
          <t>P0</t>
        </is>
      </c>
      <c r="C33" s="12" t="inlineStr">
        <is>
          <t>自由順序(設計特色)</t>
        </is>
      </c>
      <c r="D33" s="12" t="inlineStr">
        <is>
          <t>兩人同時各自行動(A 調查、B 移動)</t>
        </is>
      </c>
      <c r="E33" s="12" t="inlineStr">
        <is>
          <t>兩邊都能立刻操作,不會「還沒輪到你」;行動數各自獨立扣</t>
        </is>
      </c>
      <c r="F33" s="13" t="inlineStr"/>
      <c r="G33" s="14" t="inlineStr"/>
      <c r="H33" s="14" t="inlineStr"/>
      <c r="I33" s="12" t="inlineStr">
        <is>
          <t>同時動會不會亂?語音溝通夠嗎?</t>
        </is>
      </c>
    </row>
    <row r="34" ht="64" customHeight="1">
      <c r="A34" s="10" t="inlineStr">
        <is>
          <t>MULTI-05</t>
        </is>
      </c>
      <c r="B34" s="11" t="inlineStr">
        <is>
          <t>P0</t>
        </is>
      </c>
      <c r="C34" s="12" t="inlineStr">
        <is>
          <t>協力投入(合作感)</t>
        </is>
      </c>
      <c r="D34" s="12" t="inlineStr">
        <is>
          <t>1. 兩人站同一格
2. A 按「調查」
3. B 在自己畫面投 1 張
4. A 送出</t>
        </is>
      </c>
      <c r="E34" s="12" t="inlineStr">
        <is>
          <t>B 也跳出投入面板;A 可投多張、B 面板寫「最多 1 張(協助隊友)」;兩人都回覆才結算,雙方都看到結果</t>
        </is>
      </c>
      <c r="F34" s="13" t="inlineStr"/>
      <c r="G34" s="14" t="inlineStr"/>
      <c r="H34" s="14" t="inlineStr"/>
      <c r="I34" s="12" t="inlineStr">
        <is>
          <t>B 知道自己在幫 A 嗎?等待對方時會焦慮嗎?</t>
        </is>
      </c>
    </row>
    <row r="35" ht="36" customHeight="1">
      <c r="A35" s="10" t="inlineStr">
        <is>
          <t>MULTI-06</t>
        </is>
      </c>
      <c r="B35" s="11" t="inlineStr">
        <is>
          <t>P1</t>
        </is>
      </c>
      <c r="C35" s="12" t="inlineStr">
        <is>
          <t>分頭行動</t>
        </is>
      </c>
      <c r="D35" s="12" t="inlineStr">
        <is>
          <t>1. B 移到別的格
2. A 在原地調查</t>
        </is>
      </c>
      <c r="E35" s="12" t="inlineStr">
        <is>
          <t>B 不再收到 A 的投入面板;地圖上看得到對方位置</t>
        </is>
      </c>
      <c r="F35" s="13" t="inlineStr"/>
      <c r="G35" s="14" t="inlineStr"/>
      <c r="H35" s="14" t="inlineStr"/>
      <c r="I35" s="12" t="inlineStr">
        <is>
          <t>看得出隊友在哪、狀態如何嗎?</t>
        </is>
      </c>
    </row>
    <row r="36" ht="50" customHeight="1">
      <c r="A36" s="10" t="inlineStr">
        <is>
          <t>MULTI-07</t>
        </is>
      </c>
      <c r="B36" s="11" t="inlineStr">
        <is>
          <t>P1</t>
        </is>
      </c>
      <c r="C36" s="12" t="inlineStr">
        <is>
          <t>全員結束回合 + 階段演出</t>
        </is>
      </c>
      <c r="D36" s="12" t="inlineStr">
        <is>
          <t>1. A 按「✋ 我打完了」
2. 等 10 秒
3. B 按「✋ 我打完了」</t>
        </is>
      </c>
      <c r="E36" s="12" t="inlineStr">
        <is>
          <t>A 小卡顯示「完成 1/2,等隊友」;B 按完才進敵人階段;階段一段一段演(敵人 → 整備)</t>
        </is>
      </c>
      <c r="F36" s="13" t="inlineStr"/>
      <c r="G36" s="14" t="inlineStr"/>
      <c r="H36" s="14" t="inlineStr"/>
      <c r="I36" s="12" t="inlineStr">
        <is>
          <t>等待會煩躁嗎?演出速度(約 0.6 秒/段)適當嗎?</t>
        </is>
      </c>
    </row>
    <row r="37" ht="78" customHeight="1">
      <c r="A37" s="10" t="inlineStr">
        <is>
          <t>MULTI-08</t>
        </is>
      </c>
      <c r="B37" s="11" t="inlineStr">
        <is>
          <t>P0</t>
        </is>
      </c>
      <c r="C37" s="12" t="inlineStr">
        <is>
          <t>多人存檔繼承</t>
        </is>
      </c>
      <c r="D37" s="12" t="inlineStr">
        <is>
          <t>1. A 發起「保存並離開」,兩人同意
2. 兩人都離開
3. 改由 B 從自己本機存檔重開
4. A 從桌次清單加入
5. 兩人按就緒</t>
        </is>
      </c>
      <c r="E37" s="12" t="inlineStr">
        <is>
          <t>兩人本機都有存檔;由誰重開都可以;續玩後兩人角色/位置/戰果正確</t>
        </is>
      </c>
      <c r="F37" s="13" t="inlineStr"/>
      <c r="G37" s="14" t="inlineStr"/>
      <c r="H37" s="14" t="inlineStr"/>
      <c r="I37" s="12" t="inlineStr">
        <is>
          <t>「存檔複製到每人電腦、誰都能開」朋友理解嗎?</t>
        </is>
      </c>
    </row>
    <row r="38">
      <c r="A38" s="9" t="inlineStr">
        <is>
          <t>D. 意外狀況</t>
        </is>
      </c>
      <c r="B38" s="4" t="n"/>
      <c r="C38" s="4" t="n"/>
      <c r="D38" s="4" t="n"/>
      <c r="E38" s="4" t="n"/>
      <c r="F38" s="4" t="n"/>
      <c r="G38" s="4" t="n"/>
      <c r="H38" s="4" t="n"/>
      <c r="I38" s="5" t="n"/>
    </row>
    <row r="39" ht="50" customHeight="1">
      <c r="A39" s="10" t="inlineStr">
        <is>
          <t>EDGE-01</t>
        </is>
      </c>
      <c r="B39" s="11" t="inlineStr">
        <is>
          <t>P0</t>
        </is>
      </c>
      <c r="C39" s="12" t="inlineStr">
        <is>
          <t>掉線重連(接手)</t>
        </is>
      </c>
      <c r="D39" s="12" t="inlineStr">
        <is>
          <t>1. 遊戲中 B 直接關掉分頁
2. 等 10 秒
3. B 重開網址、從清單加入</t>
        </is>
      </c>
      <c r="E39" s="12" t="inlineStr">
        <is>
          <t>名冊顯示 B 掉線;B 回來接回原調查員、狀態不變;若掉線時卡在投入面板,回來重新問一次</t>
        </is>
      </c>
      <c r="F39" s="13" t="inlineStr"/>
      <c r="G39" s="14" t="inlineStr"/>
      <c r="H39" s="14" t="inlineStr"/>
      <c r="I39" s="12" t="inlineStr">
        <is>
          <t>A 等待時知道 B 掉線、可以等他嗎?</t>
        </is>
      </c>
    </row>
    <row r="40" ht="50" customHeight="1">
      <c r="A40" s="10" t="inlineStr">
        <is>
          <t>EDGE-02</t>
        </is>
      </c>
      <c r="B40" s="11" t="inlineStr">
        <is>
          <t>P2</t>
        </is>
      </c>
      <c r="C40" s="12" t="inlineStr">
        <is>
          <t>換裝置(席位認領)</t>
        </is>
      </c>
      <c r="D40" s="12" t="inlineStr">
        <is>
          <t>1. B 用另一個無痕視窗(新身分)加入同桌
2. 對名冊上「離線的 B」按「🔑 這是我」
3. A 同意</t>
        </is>
      </c>
      <c r="E40" s="12" t="inlineStr">
        <is>
          <t>投票通過後新身分繼承角色/牌組/經驗/創傷;舊席位消失</t>
        </is>
      </c>
      <c r="F40" s="13" t="inlineStr"/>
      <c r="G40" s="14" t="inlineStr"/>
      <c r="H40" s="14" t="inlineStr"/>
      <c r="I40" s="12" t="inlineStr">
        <is>
          <t>流程對真人會不會太複雜?</t>
        </is>
      </c>
    </row>
    <row r="41" ht="36" customHeight="1">
      <c r="A41" s="10" t="inlineStr">
        <is>
          <t>EDGE-03</t>
        </is>
      </c>
      <c r="B41" s="11" t="inlineStr">
        <is>
          <t>P1</t>
        </is>
      </c>
      <c r="C41" s="12" t="inlineStr">
        <is>
          <t>手牌爆量 · 自選棄牌</t>
        </is>
      </c>
      <c r="D41" s="12" t="inlineStr">
        <is>
          <t>1. 連續抽牌使手牌 &gt; 8
2. 結束回合(整備再抽 1)</t>
        </is>
      </c>
      <c r="E41" s="12" t="inlineStr">
        <is>
          <t>跳出棄牌面板由自己選棄哪幾張;沒棄完不能行動,但隊友照常玩</t>
        </is>
      </c>
      <c r="F41" s="13" t="inlineStr"/>
      <c r="G41" s="14" t="inlineStr"/>
      <c r="H41" s="14" t="inlineStr"/>
      <c r="I41" s="12" t="inlineStr">
        <is>
          <t>知道為什麼跳這面板嗎?被擋行動時說明清楚嗎?</t>
        </is>
      </c>
    </row>
  </sheetData>
  <autoFilter ref="A8:I41"/>
  <mergeCells count="11">
    <mergeCell ref="A29:I29"/>
    <mergeCell ref="A25:I25"/>
    <mergeCell ref="B3:D3"/>
    <mergeCell ref="B5:D5"/>
    <mergeCell ref="A38:I38"/>
    <mergeCell ref="A14:I14"/>
    <mergeCell ref="B4:D4"/>
    <mergeCell ref="A1:I1"/>
    <mergeCell ref="A9:I9"/>
    <mergeCell ref="B6:D6"/>
    <mergeCell ref="B2:D2"/>
  </mergeCells>
  <dataValidations count="2">
    <dataValidation sqref="G9:G41" showDropDown="0" showInputMessage="0" showErrorMessage="0" allowBlank="1" type="list">
      <formula1>"P,F,B,N"</formula1>
    </dataValidation>
    <dataValidation sqref="H9:H41" showDropDown="0" showInputMessage="0" showErrorMessage="0" allowBlank="1" type="list">
      <formula1>"😀,😐,😖"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5" t="inlineStr">
        <is>
          <t>結果統計(自動計算,來源:測試案例)</t>
        </is>
      </c>
    </row>
    <row r="3">
      <c r="A3" s="8" t="inlineStr">
        <is>
          <t>分類</t>
        </is>
      </c>
      <c r="B3" s="8" t="inlineStr">
        <is>
          <t>案例數</t>
        </is>
      </c>
      <c r="C3" s="8" t="inlineStr">
        <is>
          <t>通過 P</t>
        </is>
      </c>
      <c r="D3" s="8" t="inlineStr">
        <is>
          <t>失敗 F</t>
        </is>
      </c>
      <c r="E3" s="8" t="inlineStr">
        <is>
          <t>阻斷 B</t>
        </is>
      </c>
      <c r="F3" s="8" t="inlineStr">
        <is>
          <t>未測 N</t>
        </is>
      </c>
      <c r="G3" s="8" t="inlineStr">
        <is>
          <t>😀</t>
        </is>
      </c>
      <c r="H3" s="8" t="inlineStr">
        <is>
          <t>😐</t>
        </is>
      </c>
      <c r="I3" s="8" t="inlineStr">
        <is>
          <t>😖</t>
        </is>
      </c>
    </row>
    <row r="4">
      <c r="A4" s="16" t="inlineStr">
        <is>
          <t>A 單人流程</t>
        </is>
      </c>
      <c r="B4" s="11">
        <f>COUNTIF(測試案例!$A$15:$A$41,"SOLO-*")</f>
        <v/>
      </c>
      <c r="C4" s="11">
        <f>COUNTIFS(測試案例!$A$15:$A$41,"SOLO-*",測試案例!$G$15:$G$41,"P")</f>
        <v/>
      </c>
      <c r="D4" s="11">
        <f>COUNTIFS(測試案例!$A$15:$A$41,"SOLO-*",測試案例!$G$15:$G$41,"F")</f>
        <v/>
      </c>
      <c r="E4" s="11">
        <f>COUNTIFS(測試案例!$A$15:$A$41,"SOLO-*",測試案例!$G$15:$G$41,"B")</f>
        <v/>
      </c>
      <c r="F4" s="11">
        <f>COUNTIFS(測試案例!$A$15:$A$41,"SOLO-*",測試案例!$G$15:$G$41,"N")</f>
        <v/>
      </c>
      <c r="G4" s="11">
        <f>COUNTIFS(測試案例!$A$15:$A$41,"SOLO-*",測試案例!$H$15:$H$41,"😀")</f>
        <v/>
      </c>
      <c r="H4" s="11">
        <f>COUNTIFS(測試案例!$A$15:$A$41,"SOLO-*",測試案例!$H$15:$H$41,"😐")</f>
        <v/>
      </c>
      <c r="I4" s="11">
        <f>COUNTIFS(測試案例!$A$15:$A$41,"SOLO-*",測試案例!$H$15:$H$41,"😖")</f>
        <v/>
      </c>
    </row>
    <row r="5">
      <c r="A5" s="16" t="inlineStr">
        <is>
          <t>B 存檔續玩</t>
        </is>
      </c>
      <c r="B5" s="11">
        <f>COUNTIF(測試案例!$A$15:$A$41,"SAVE-*")</f>
        <v/>
      </c>
      <c r="C5" s="11">
        <f>COUNTIFS(測試案例!$A$15:$A$41,"SAVE-*",測試案例!$G$15:$G$41,"P")</f>
        <v/>
      </c>
      <c r="D5" s="11">
        <f>COUNTIFS(測試案例!$A$15:$A$41,"SAVE-*",測試案例!$G$15:$G$41,"F")</f>
        <v/>
      </c>
      <c r="E5" s="11">
        <f>COUNTIFS(測試案例!$A$15:$A$41,"SAVE-*",測試案例!$G$15:$G$41,"B")</f>
        <v/>
      </c>
      <c r="F5" s="11">
        <f>COUNTIFS(測試案例!$A$15:$A$41,"SAVE-*",測試案例!$G$15:$G$41,"N")</f>
        <v/>
      </c>
      <c r="G5" s="11">
        <f>COUNTIFS(測試案例!$A$15:$A$41,"SAVE-*",測試案例!$H$15:$H$41,"😀")</f>
        <v/>
      </c>
      <c r="H5" s="11">
        <f>COUNTIFS(測試案例!$A$15:$A$41,"SAVE-*",測試案例!$H$15:$H$41,"😐")</f>
        <v/>
      </c>
      <c r="I5" s="11">
        <f>COUNTIFS(測試案例!$A$15:$A$41,"SAVE-*",測試案例!$H$15:$H$41,"😖")</f>
        <v/>
      </c>
    </row>
    <row r="6">
      <c r="A6" s="16" t="inlineStr">
        <is>
          <t>C 雙人流程</t>
        </is>
      </c>
      <c r="B6" s="11">
        <f>COUNTIF(測試案例!$A$15:$A$41,"MULTI-*")</f>
        <v/>
      </c>
      <c r="C6" s="11">
        <f>COUNTIFS(測試案例!$A$15:$A$41,"MULTI-*",測試案例!$G$15:$G$41,"P")</f>
        <v/>
      </c>
      <c r="D6" s="11">
        <f>COUNTIFS(測試案例!$A$15:$A$41,"MULTI-*",測試案例!$G$15:$G$41,"F")</f>
        <v/>
      </c>
      <c r="E6" s="11">
        <f>COUNTIFS(測試案例!$A$15:$A$41,"MULTI-*",測試案例!$G$15:$G$41,"B")</f>
        <v/>
      </c>
      <c r="F6" s="11">
        <f>COUNTIFS(測試案例!$A$15:$A$41,"MULTI-*",測試案例!$G$15:$G$41,"N")</f>
        <v/>
      </c>
      <c r="G6" s="11">
        <f>COUNTIFS(測試案例!$A$15:$A$41,"MULTI-*",測試案例!$H$15:$H$41,"😀")</f>
        <v/>
      </c>
      <c r="H6" s="11">
        <f>COUNTIFS(測試案例!$A$15:$A$41,"MULTI-*",測試案例!$H$15:$H$41,"😐")</f>
        <v/>
      </c>
      <c r="I6" s="11">
        <f>COUNTIFS(測試案例!$A$15:$A$41,"MULTI-*",測試案例!$H$15:$H$41,"😖")</f>
        <v/>
      </c>
    </row>
    <row r="7">
      <c r="A7" s="16" t="inlineStr">
        <is>
          <t>D 意外狀況</t>
        </is>
      </c>
      <c r="B7" s="11">
        <f>COUNTIF(測試案例!$A$15:$A$41,"EDGE-*")</f>
        <v/>
      </c>
      <c r="C7" s="11">
        <f>COUNTIFS(測試案例!$A$15:$A$41,"EDGE-*",測試案例!$G$15:$G$41,"P")</f>
        <v/>
      </c>
      <c r="D7" s="11">
        <f>COUNTIFS(測試案例!$A$15:$A$41,"EDGE-*",測試案例!$G$15:$G$41,"F")</f>
        <v/>
      </c>
      <c r="E7" s="11">
        <f>COUNTIFS(測試案例!$A$15:$A$41,"EDGE-*",測試案例!$G$15:$G$41,"B")</f>
        <v/>
      </c>
      <c r="F7" s="11">
        <f>COUNTIFS(測試案例!$A$15:$A$41,"EDGE-*",測試案例!$G$15:$G$41,"N")</f>
        <v/>
      </c>
      <c r="G7" s="11">
        <f>COUNTIFS(測試案例!$A$15:$A$41,"EDGE-*",測試案例!$H$15:$H$41,"😀")</f>
        <v/>
      </c>
      <c r="H7" s="11">
        <f>COUNTIFS(測試案例!$A$15:$A$41,"EDGE-*",測試案例!$H$15:$H$41,"😐")</f>
        <v/>
      </c>
      <c r="I7" s="11">
        <f>COUNTIFS(測試案例!$A$15:$A$41,"EDGE-*",測試案例!$H$15:$H$41,"😖")</f>
        <v/>
      </c>
    </row>
    <row r="8">
      <c r="A8" s="17" t="inlineStr">
        <is>
          <t>合計</t>
        </is>
      </c>
      <c r="B8" s="18">
        <f>SUM(B4:B7)</f>
        <v/>
      </c>
      <c r="C8" s="18">
        <f>SUM(C4:C7)</f>
        <v/>
      </c>
      <c r="D8" s="18">
        <f>SUM(D4:D7)</f>
        <v/>
      </c>
      <c r="E8" s="18">
        <f>SUM(E4:E7)</f>
        <v/>
      </c>
      <c r="F8" s="18">
        <f>SUM(F4:F7)</f>
        <v/>
      </c>
      <c r="G8" s="18">
        <f>SUM(G4:G7)</f>
        <v/>
      </c>
      <c r="H8" s="18">
        <f>SUM(H4:H7)</f>
        <v/>
      </c>
      <c r="I8" s="18">
        <f>SUM(I4:I7)</f>
        <v/>
      </c>
    </row>
    <row r="10">
      <c r="A10" s="2" t="inlineStr">
        <is>
          <t>通過率</t>
        </is>
      </c>
      <c r="B10" s="19">
        <f>IF(C8+D8=0,"未開始",C8/(C8+D8))</f>
        <v/>
      </c>
      <c r="C10" s="7">
        <f> 通過 ÷(通過+失敗),未測不計入</f>
        <v/>
      </c>
    </row>
    <row r="11">
      <c r="A11" s="2" t="inlineStr">
        <is>
          <t>執行率</t>
        </is>
      </c>
      <c r="B11" s="19">
        <f>IF(B8=0,"-",(B8-F8)/B8)</f>
        <v/>
      </c>
      <c r="C11" s="7">
        <f> (案例數 - 未測) ÷ 案例數</f>
        <v/>
      </c>
    </row>
    <row r="12">
      <c r="A12" s="2" t="inlineStr">
        <is>
          <t>手感警訊</t>
        </is>
      </c>
      <c r="B12" s="20">
        <f>H8+I8</f>
        <v/>
      </c>
      <c r="C12" s="7">
        <f> 😐 + 😖 的總數,每一項都該有對應缺陷記錄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4" customWidth="1" min="4" max="4"/>
    <col width="34" customWidth="1" min="5" max="5"/>
    <col width="34" customWidth="1" min="6" max="6"/>
    <col width="16" customWidth="1" min="7" max="7"/>
  </cols>
  <sheetData>
    <row r="1">
      <c r="A1" s="15" t="inlineStr">
        <is>
          <t>缺陷記錄(每個 F / 😐 / 😖 填一列)</t>
        </is>
      </c>
    </row>
    <row r="3">
      <c r="A3" s="8" t="inlineStr">
        <is>
          <t>#</t>
        </is>
      </c>
      <c r="B3" s="8" t="inlineStr">
        <is>
          <t>對應案例</t>
        </is>
      </c>
      <c r="C3" s="8" t="inlineStr">
        <is>
          <t>嚴重度</t>
        </is>
      </c>
      <c r="D3" s="8" t="inlineStr">
        <is>
          <t>現象(實際看到什麼)</t>
        </is>
      </c>
      <c r="E3" s="8" t="inlineStr">
        <is>
          <t>期待(應該看到什麼)</t>
        </is>
      </c>
      <c r="F3" s="8" t="inlineStr">
        <is>
          <t>重現步驟</t>
        </is>
      </c>
      <c r="G3" s="8" t="inlineStr">
        <is>
          <t>截圖檔名</t>
        </is>
      </c>
    </row>
    <row r="4" ht="30" customHeight="1">
      <c r="A4" s="21" t="n">
        <v>1</v>
      </c>
      <c r="B4" s="21" t="inlineStr">
        <is>
          <t>SOLO-09</t>
        </is>
      </c>
      <c r="C4" s="21" t="inlineStr">
        <is>
          <t>S3 一般</t>
        </is>
      </c>
      <c r="D4" s="21" t="inlineStr">
        <is>
          <t>被趁隙攻擊時只有文字 log,畫面沒有任何提示</t>
        </is>
      </c>
      <c r="E4" s="21" t="inlineStr">
        <is>
          <t>應該全螢幕紅閃 + 飄「-1 ❤️」</t>
        </is>
      </c>
      <c r="F4" s="21" t="inlineStr">
        <is>
          <t>沙盒 → 實戰巷 → 交戰中按「抽牌」</t>
        </is>
      </c>
      <c r="G4" s="21" t="inlineStr">
        <is>
          <t>shot-01.png</t>
        </is>
      </c>
      <c r="H4" s="22" t="inlineStr">
        <is>
          <t>← 範例列(填寫前請刪除)</t>
        </is>
      </c>
    </row>
    <row r="5" ht="28" customHeight="1">
      <c r="A5" s="23" t="n">
        <v>2</v>
      </c>
      <c r="B5" s="13" t="n"/>
      <c r="C5" s="13" t="n"/>
      <c r="D5" s="13" t="n"/>
      <c r="E5" s="13" t="n"/>
      <c r="F5" s="13" t="n"/>
      <c r="G5" s="13" t="n"/>
    </row>
    <row r="6" ht="28" customHeight="1">
      <c r="A6" s="23" t="n">
        <v>3</v>
      </c>
      <c r="B6" s="13" t="n"/>
      <c r="C6" s="13" t="n"/>
      <c r="D6" s="13" t="n"/>
      <c r="E6" s="13" t="n"/>
      <c r="F6" s="13" t="n"/>
      <c r="G6" s="13" t="n"/>
    </row>
    <row r="7" ht="28" customHeight="1">
      <c r="A7" s="23" t="n">
        <v>4</v>
      </c>
      <c r="B7" s="13" t="n"/>
      <c r="C7" s="13" t="n"/>
      <c r="D7" s="13" t="n"/>
      <c r="E7" s="13" t="n"/>
      <c r="F7" s="13" t="n"/>
      <c r="G7" s="13" t="n"/>
    </row>
    <row r="8" ht="28" customHeight="1">
      <c r="A8" s="23" t="n">
        <v>5</v>
      </c>
      <c r="B8" s="13" t="n"/>
      <c r="C8" s="13" t="n"/>
      <c r="D8" s="13" t="n"/>
      <c r="E8" s="13" t="n"/>
      <c r="F8" s="13" t="n"/>
      <c r="G8" s="13" t="n"/>
    </row>
    <row r="9" ht="28" customHeight="1">
      <c r="A9" s="23" t="n">
        <v>6</v>
      </c>
      <c r="B9" s="13" t="n"/>
      <c r="C9" s="13" t="n"/>
      <c r="D9" s="13" t="n"/>
      <c r="E9" s="13" t="n"/>
      <c r="F9" s="13" t="n"/>
      <c r="G9" s="13" t="n"/>
    </row>
    <row r="10" ht="28" customHeight="1">
      <c r="A10" s="23" t="n">
        <v>7</v>
      </c>
      <c r="B10" s="13" t="n"/>
      <c r="C10" s="13" t="n"/>
      <c r="D10" s="13" t="n"/>
      <c r="E10" s="13" t="n"/>
      <c r="F10" s="13" t="n"/>
      <c r="G10" s="13" t="n"/>
    </row>
    <row r="11" ht="28" customHeight="1">
      <c r="A11" s="23" t="n">
        <v>8</v>
      </c>
      <c r="B11" s="13" t="n"/>
      <c r="C11" s="13" t="n"/>
      <c r="D11" s="13" t="n"/>
      <c r="E11" s="13" t="n"/>
      <c r="F11" s="13" t="n"/>
      <c r="G11" s="13" t="n"/>
    </row>
    <row r="12" ht="28" customHeight="1">
      <c r="A12" s="23" t="n">
        <v>9</v>
      </c>
      <c r="B12" s="13" t="n"/>
      <c r="C12" s="13" t="n"/>
      <c r="D12" s="13" t="n"/>
      <c r="E12" s="13" t="n"/>
      <c r="F12" s="13" t="n"/>
      <c r="G12" s="13" t="n"/>
    </row>
    <row r="13" ht="28" customHeight="1">
      <c r="A13" s="23" t="n">
        <v>10</v>
      </c>
      <c r="B13" s="13" t="n"/>
      <c r="C13" s="13" t="n"/>
      <c r="D13" s="13" t="n"/>
      <c r="E13" s="13" t="n"/>
      <c r="F13" s="13" t="n"/>
      <c r="G13" s="13" t="n"/>
    </row>
    <row r="14" ht="28" customHeight="1">
      <c r="A14" s="23" t="n">
        <v>11</v>
      </c>
      <c r="B14" s="13" t="n"/>
      <c r="C14" s="13" t="n"/>
      <c r="D14" s="13" t="n"/>
      <c r="E14" s="13" t="n"/>
      <c r="F14" s="13" t="n"/>
      <c r="G14" s="13" t="n"/>
    </row>
    <row r="15" ht="28" customHeight="1">
      <c r="A15" s="23" t="n">
        <v>12</v>
      </c>
      <c r="B15" s="13" t="n"/>
      <c r="C15" s="13" t="n"/>
      <c r="D15" s="13" t="n"/>
      <c r="E15" s="13" t="n"/>
      <c r="F15" s="13" t="n"/>
      <c r="G15" s="13" t="n"/>
    </row>
    <row r="16" ht="28" customHeight="1">
      <c r="A16" s="23" t="n">
        <v>13</v>
      </c>
      <c r="B16" s="13" t="n"/>
      <c r="C16" s="13" t="n"/>
      <c r="D16" s="13" t="n"/>
      <c r="E16" s="13" t="n"/>
      <c r="F16" s="13" t="n"/>
      <c r="G16" s="13" t="n"/>
    </row>
    <row r="17" ht="28" customHeight="1">
      <c r="A17" s="23" t="n">
        <v>14</v>
      </c>
      <c r="B17" s="13" t="n"/>
      <c r="C17" s="13" t="n"/>
      <c r="D17" s="13" t="n"/>
      <c r="E17" s="13" t="n"/>
      <c r="F17" s="13" t="n"/>
      <c r="G17" s="13" t="n"/>
    </row>
    <row r="18" ht="28" customHeight="1">
      <c r="A18" s="23" t="n">
        <v>15</v>
      </c>
      <c r="B18" s="13" t="n"/>
      <c r="C18" s="13" t="n"/>
      <c r="D18" s="13" t="n"/>
      <c r="E18" s="13" t="n"/>
      <c r="F18" s="13" t="n"/>
      <c r="G18" s="13" t="n"/>
    </row>
    <row r="19" ht="28" customHeight="1">
      <c r="A19" s="23" t="n">
        <v>16</v>
      </c>
      <c r="B19" s="13" t="n"/>
      <c r="C19" s="13" t="n"/>
      <c r="D19" s="13" t="n"/>
      <c r="E19" s="13" t="n"/>
      <c r="F19" s="13" t="n"/>
      <c r="G19" s="13" t="n"/>
    </row>
    <row r="20" ht="28" customHeight="1">
      <c r="A20" s="23" t="n">
        <v>17</v>
      </c>
      <c r="B20" s="13" t="n"/>
      <c r="C20" s="13" t="n"/>
      <c r="D20" s="13" t="n"/>
      <c r="E20" s="13" t="n"/>
      <c r="F20" s="13" t="n"/>
      <c r="G20" s="13" t="n"/>
    </row>
    <row r="21" ht="28" customHeight="1">
      <c r="A21" s="23" t="n">
        <v>18</v>
      </c>
      <c r="B21" s="13" t="n"/>
      <c r="C21" s="13" t="n"/>
      <c r="D21" s="13" t="n"/>
      <c r="E21" s="13" t="n"/>
      <c r="F21" s="13" t="n"/>
      <c r="G21" s="13" t="n"/>
    </row>
    <row r="22" ht="28" customHeight="1">
      <c r="A22" s="23" t="n">
        <v>19</v>
      </c>
      <c r="B22" s="13" t="n"/>
      <c r="C22" s="13" t="n"/>
      <c r="D22" s="13" t="n"/>
      <c r="E22" s="13" t="n"/>
      <c r="F22" s="13" t="n"/>
      <c r="G22" s="13" t="n"/>
    </row>
    <row r="23" ht="28" customHeight="1">
      <c r="A23" s="23" t="n">
        <v>20</v>
      </c>
      <c r="B23" s="13" t="n"/>
      <c r="C23" s="13" t="n"/>
      <c r="D23" s="13" t="n"/>
      <c r="E23" s="13" t="n"/>
      <c r="F23" s="13" t="n"/>
      <c r="G23" s="13" t="n"/>
    </row>
    <row r="24" ht="28" customHeight="1">
      <c r="A24" s="23" t="n">
        <v>21</v>
      </c>
      <c r="B24" s="13" t="n"/>
      <c r="C24" s="13" t="n"/>
      <c r="D24" s="13" t="n"/>
      <c r="E24" s="13" t="n"/>
      <c r="F24" s="13" t="n"/>
      <c r="G24" s="13" t="n"/>
    </row>
    <row r="25" ht="28" customHeight="1">
      <c r="A25" s="23" t="n">
        <v>22</v>
      </c>
      <c r="B25" s="13" t="n"/>
      <c r="C25" s="13" t="n"/>
      <c r="D25" s="13" t="n"/>
      <c r="E25" s="13" t="n"/>
      <c r="F25" s="13" t="n"/>
      <c r="G25" s="13" t="n"/>
    </row>
    <row r="26" ht="28" customHeight="1">
      <c r="A26" s="23" t="n">
        <v>23</v>
      </c>
      <c r="B26" s="13" t="n"/>
      <c r="C26" s="13" t="n"/>
      <c r="D26" s="13" t="n"/>
      <c r="E26" s="13" t="n"/>
      <c r="F26" s="13" t="n"/>
      <c r="G26" s="13" t="n"/>
    </row>
    <row r="27" ht="28" customHeight="1">
      <c r="A27" s="23" t="n">
        <v>24</v>
      </c>
      <c r="B27" s="13" t="n"/>
      <c r="C27" s="13" t="n"/>
      <c r="D27" s="13" t="n"/>
      <c r="E27" s="13" t="n"/>
      <c r="F27" s="13" t="n"/>
      <c r="G27" s="13" t="n"/>
    </row>
    <row r="28" ht="28" customHeight="1">
      <c r="A28" s="23" t="n">
        <v>25</v>
      </c>
      <c r="B28" s="13" t="n"/>
      <c r="C28" s="13" t="n"/>
      <c r="D28" s="13" t="n"/>
      <c r="E28" s="13" t="n"/>
      <c r="F28" s="13" t="n"/>
      <c r="G28" s="13" t="n"/>
    </row>
    <row r="29" ht="28" customHeight="1">
      <c r="A29" s="23" t="n">
        <v>26</v>
      </c>
      <c r="B29" s="13" t="n"/>
      <c r="C29" s="13" t="n"/>
      <c r="D29" s="13" t="n"/>
      <c r="E29" s="13" t="n"/>
      <c r="F29" s="13" t="n"/>
      <c r="G29" s="13" t="n"/>
    </row>
  </sheetData>
  <mergeCells count="1">
    <mergeCell ref="A1:G1"/>
  </mergeCells>
  <dataValidations count="1">
    <dataValidation sqref="C5:C29" showDropDown="0" showInputMessage="0" showErrorMessage="0" allowBlank="1" type="list">
      <formula1>"S1 阻斷,S2 嚴重,S3 一般,S4 建議"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52" customWidth="1" min="3" max="3"/>
  </cols>
  <sheetData>
    <row r="1">
      <c r="A1" s="15" t="inlineStr">
        <is>
          <t>整體評估(玩完後填)</t>
        </is>
      </c>
    </row>
    <row r="3">
      <c r="A3" s="8" t="inlineStr">
        <is>
          <t>面向</t>
        </is>
      </c>
      <c r="B3" s="8" t="inlineStr">
        <is>
          <t>評分 1–5</t>
        </is>
      </c>
      <c r="C3" s="8" t="inlineStr">
        <is>
          <t>一句話說明</t>
        </is>
      </c>
    </row>
    <row r="4" ht="24" customHeight="1">
      <c r="A4" s="12" t="inlineStr">
        <is>
          <t>看得懂:不用問人就知道怎麼玩</t>
        </is>
      </c>
      <c r="B4" s="14" t="n"/>
      <c r="C4" s="13" t="n"/>
    </row>
    <row r="5" ht="24" customHeight="1">
      <c r="A5" s="12" t="inlineStr">
        <is>
          <t>回饋清楚:被打/打中/成功失敗一眼可知</t>
        </is>
      </c>
      <c r="B5" s="14" t="n"/>
      <c r="C5" s="13" t="n"/>
    </row>
    <row r="6" ht="24" customHeight="1">
      <c r="A6" s="12" t="inlineStr">
        <is>
          <t>操作順:想做的事找得到按鈕、不誤觸</t>
        </is>
      </c>
      <c r="B6" s="14" t="n"/>
      <c r="C6" s="13" t="n"/>
    </row>
    <row r="7" ht="24" customHeight="1">
      <c r="A7" s="12" t="inlineStr">
        <is>
          <t>合作感:雙人一起玩有互動的感覺</t>
        </is>
      </c>
      <c r="B7" s="14" t="n"/>
      <c r="C7" s="13" t="n"/>
    </row>
    <row r="8" ht="24" customHeight="1">
      <c r="A8" s="12" t="inlineStr">
        <is>
          <t>節奏:等待/演出/回合長度舒適</t>
        </is>
      </c>
      <c r="B8" s="14" t="n"/>
      <c r="C8" s="13" t="n"/>
    </row>
    <row r="9" ht="24" customHeight="1">
      <c r="A9" s="12" t="inlineStr">
        <is>
          <t>穩定:無卡住、錯誤訊息、需重整</t>
        </is>
      </c>
      <c r="B9" s="14" t="n"/>
      <c r="C9" s="13" t="n"/>
    </row>
    <row r="10">
      <c r="A10" s="2" t="inlineStr">
        <is>
          <t>平均</t>
        </is>
      </c>
      <c r="B10" s="24">
        <f>IF(COUNT(B4:B9)=0,"-",AVERAGE(B4:B9))</f>
        <v/>
      </c>
    </row>
    <row r="12">
      <c r="A12" s="25" t="inlineStr">
        <is>
          <t>最想改的 3 件事</t>
        </is>
      </c>
    </row>
    <row r="13">
      <c r="A13" s="8" t="inlineStr">
        <is>
          <t>#</t>
        </is>
      </c>
      <c r="B13" s="8" t="inlineStr">
        <is>
          <t>描述</t>
        </is>
      </c>
      <c r="C13" s="8" t="inlineStr">
        <is>
          <t>對應案例編號</t>
        </is>
      </c>
    </row>
    <row r="14" ht="26" customHeight="1">
      <c r="A14" s="26" t="n">
        <v>1</v>
      </c>
      <c r="B14" s="13" t="n"/>
      <c r="C14" s="13" t="n"/>
    </row>
    <row r="15" ht="26" customHeight="1">
      <c r="A15" s="26" t="n">
        <v>2</v>
      </c>
      <c r="B15" s="13" t="n"/>
      <c r="C15" s="13" t="n"/>
    </row>
    <row r="16" ht="26" customHeight="1">
      <c r="A16" s="26" t="n">
        <v>3</v>
      </c>
      <c r="B16" s="13" t="n"/>
      <c r="C16" s="13" t="n"/>
    </row>
    <row r="18">
      <c r="A18" s="2" t="inlineStr">
        <is>
          <t>會不會想再玩一次?</t>
        </is>
      </c>
      <c r="B18" s="27" t="n"/>
      <c r="C18" s="6" t="inlineStr">
        <is>
          <t>原因:</t>
        </is>
      </c>
    </row>
    <row r="19" ht="40" customHeight="1">
      <c r="A19" s="2" t="inlineStr">
        <is>
          <t>原因說明</t>
        </is>
      </c>
      <c r="B19" s="28" t="n"/>
    </row>
  </sheetData>
  <mergeCells count="2">
    <mergeCell ref="A1:C1"/>
    <mergeCell ref="B19:C19"/>
  </mergeCells>
  <dataValidations count="2">
    <dataValidation sqref="B4:B9" showDropDown="0" showInputMessage="0" showErrorMessage="0" allowBlank="1" type="list">
      <formula1>"1,2,3,4,5"</formula1>
    </dataValidation>
    <dataValidation sqref="B18" showDropDown="0" showInputMessage="0" showErrorMessage="0" allowBlank="1" type="list">
      <formula1>"會,普通,不會"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2026-07-29T07:57:02Z</dcterms:created>
  <dcterms:modified xsi:type="dcterms:W3CDTF">2026-07-29T07:57:02Z</dcterms:modified>
</cp:coreProperties>
</file>